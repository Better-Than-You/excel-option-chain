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/>
  <workbookPr/>
  <mc:AlternateContent xmlns:mc="http://schemas.openxmlformats.org/markup-compatibility/2006">
    <mc:Choice Requires="x15">
      <x15ac:absPath xmlns:x15ac="http://schemas.microsoft.com/office/spreadsheetml/2010/11/ac" url="C:\Users\neera\OneDrive\Desktop\live-data\"/>
    </mc:Choice>
  </mc:AlternateContent>
  <xr:revisionPtr revIDLastSave="0" documentId="13_ncr:1_{E60108F5-32C0-4AE7-B0D9-929F9C977B0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redential" sheetId="1" r:id="rId1"/>
    <sheet name="nift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3" i="2" l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31" i="2"/>
  <c r="Q30" i="2" s="1"/>
  <c r="Q29" i="2" s="1"/>
  <c r="Q28" i="2" s="1"/>
  <c r="Q27" i="2" s="1"/>
  <c r="Q26" i="2" s="1"/>
  <c r="Q25" i="2" s="1"/>
  <c r="Q24" i="2" s="1"/>
  <c r="Q23" i="2" s="1"/>
  <c r="Q22" i="2" s="1"/>
  <c r="Q21" i="2" s="1"/>
  <c r="Q20" i="2" s="1"/>
  <c r="Q19" i="2" s="1"/>
  <c r="Q18" i="2" s="1"/>
  <c r="Q17" i="2" s="1"/>
  <c r="Q16" i="2" s="1"/>
  <c r="Q15" i="2" s="1"/>
  <c r="Q14" i="2" s="1"/>
  <c r="Q13" i="2" s="1"/>
  <c r="Q12" i="2" s="1"/>
</calcChain>
</file>

<file path=xl/sharedStrings.xml><?xml version="1.0" encoding="utf-8"?>
<sst xmlns="http://schemas.openxmlformats.org/spreadsheetml/2006/main" count="43" uniqueCount="27">
  <si>
    <t>ANGLE CLIENT CODE</t>
  </si>
  <si>
    <t>ANGLE PASSWORD</t>
  </si>
  <si>
    <t>Angle API KEY</t>
  </si>
  <si>
    <t>ANGLE SECRET KEY</t>
  </si>
  <si>
    <t>ANGLE TOPT SECRET</t>
  </si>
  <si>
    <t>OI Chg</t>
  </si>
  <si>
    <t>OI</t>
  </si>
  <si>
    <t>LTP Chg</t>
  </si>
  <si>
    <t>LTP</t>
  </si>
  <si>
    <t>Strike Price</t>
  </si>
  <si>
    <t>Vega</t>
  </si>
  <si>
    <t>Theta</t>
  </si>
  <si>
    <t>Gamma</t>
  </si>
  <si>
    <t>Delta</t>
  </si>
  <si>
    <t>IV</t>
  </si>
  <si>
    <t>Token</t>
  </si>
  <si>
    <t>s</t>
  </si>
  <si>
    <t>CORRELATION ID</t>
  </si>
  <si>
    <t>41 Strikes Prices</t>
  </si>
  <si>
    <t>82 Tokens</t>
  </si>
  <si>
    <t>Q32</t>
  </si>
  <si>
    <t>VOLUME</t>
  </si>
  <si>
    <t>OPEN</t>
  </si>
  <si>
    <t>HIGH</t>
  </si>
  <si>
    <t>LOW</t>
  </si>
  <si>
    <t>CLOSE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</si>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</sst>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3" x14ac:knownFonts="1">
    <font>
      <sz val="11"/>
      <color theme="1"/>
      <name val="Calibri"/>
      <family val="2"/>
      <scheme val="minor"/>
    </font>
    <font>
      <sz val="8"/>
      <color rgb="FF6A9955"/>
      <name val="Consolas"/>
      <family val="3"/>
    </font>
    <font>
      <sz val="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0" fillId="4" borderId="1" xfId="0" applyFill="1" applyBorder="1"/>
    <xf numFmtId="164" fontId="0" fillId="0" borderId="0" xfId="0" applyNumberFormat="1"/>
    <xf numFmtId="164" fontId="0" fillId="3" borderId="0" xfId="0" applyNumberFormat="1" applyFill="1"/>
    <xf numFmtId="0" fontId="0" fillId="0" borderId="0" xfId="0" applyNumberFormat="1"/>
    <xf numFmtId="0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6"/>
  <sheetViews>
    <sheetView tabSelected="1" workbookViewId="0">
      <selection activeCell="B18" sqref="B18"/>
    </sheetView>
  </sheetViews>
  <sheetFormatPr defaultRowHeight="14.4" x14ac:dyDescent="0.3"/>
  <cols>
    <col min="1" max="1" width="30.77734375" customWidth="1"/>
    <col min="2" max="2" width="33.6640625" customWidth="1"/>
    <col min="3" max="3" width="15.33203125" customWidth="1"/>
    <col min="4" max="4" width="17.21875" customWidth="1"/>
  </cols>
  <sheetData>
    <row r="1" spans="1:2" x14ac:dyDescent="0.3">
      <c r="A1" t="s">
        <v>0</v>
      </c>
    </row>
    <row r="2" spans="1:2" x14ac:dyDescent="0.3">
      <c r="A2" t="s">
        <v>1</v>
      </c>
    </row>
    <row r="3" spans="1:2" x14ac:dyDescent="0.3">
      <c r="A3" t="s">
        <v>2</v>
      </c>
      <c r="B3" s="1"/>
    </row>
    <row r="4" spans="1:2" x14ac:dyDescent="0.3">
      <c r="A4" t="s">
        <v>3</v>
      </c>
      <c r="B4" s="2"/>
    </row>
    <row r="5" spans="1:2" x14ac:dyDescent="0.3">
      <c r="A5" t="s">
        <v>4</v>
      </c>
      <c r="B5" s="1"/>
    </row>
    <row r="6" spans="1:2" x14ac:dyDescent="0.3">
      <c r="A6" t="s">
        <v>17</v>
      </c>
      <c r="B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5D419-C6B9-4C22-A288-775411D9D8C9}">
  <dimension ref="A3:AM52"/>
  <sheetViews>
    <sheetView topLeftCell="A4" zoomScaleNormal="100" workbookViewId="0">
      <selection activeCell="J24" sqref="J24"/>
    </sheetView>
  </sheetViews>
  <sheetFormatPr defaultRowHeight="14.4" x14ac:dyDescent="0.3"/>
  <cols>
    <col min="1" max="1" width="18.44140625" customWidth="1"/>
    <col min="2" max="2" width="16.109375" customWidth="1"/>
    <col min="3" max="3" width="7.6640625" customWidth="1"/>
    <col min="4" max="4" width="6.88671875" customWidth="1"/>
    <col min="5" max="5" width="7.44140625" customWidth="1"/>
    <col min="6" max="6" width="8.21875" customWidth="1"/>
    <col min="7" max="7" width="7.33203125" customWidth="1"/>
    <col min="8" max="8" width="8.21875" customWidth="1"/>
    <col min="9" max="9" width="7.33203125" customWidth="1"/>
    <col min="10" max="10" width="7.88671875" customWidth="1"/>
    <col min="11" max="11" width="6" customWidth="1"/>
    <col min="12" max="12" width="9.109375" customWidth="1"/>
    <col min="13" max="13" width="10.5546875" customWidth="1"/>
    <col min="14" max="14" width="11.5546875" customWidth="1"/>
    <col min="15" max="15" width="11.33203125" customWidth="1"/>
    <col min="16" max="16" width="9.88671875" customWidth="1"/>
    <col min="17" max="17" width="12.33203125" customWidth="1"/>
    <col min="18" max="18" width="9.21875" customWidth="1"/>
    <col min="19" max="19" width="8.44140625" customWidth="1"/>
    <col min="20" max="20" width="12.77734375" customWidth="1"/>
    <col min="22" max="22" width="7" customWidth="1"/>
    <col min="23" max="23" width="6.6640625" customWidth="1"/>
    <col min="33" max="33" width="20.6640625" customWidth="1"/>
  </cols>
  <sheetData>
    <row r="3" spans="1:39" x14ac:dyDescent="0.3">
      <c r="A3" t="s">
        <v>18</v>
      </c>
    </row>
    <row r="4" spans="1:39" x14ac:dyDescent="0.3">
      <c r="A4" t="s">
        <v>19</v>
      </c>
    </row>
    <row r="5" spans="1:39" x14ac:dyDescent="0.3">
      <c r="A5" t="s">
        <v>20</v>
      </c>
    </row>
    <row r="8" spans="1:39" x14ac:dyDescent="0.3">
      <c r="P8">
        <v>23342.3</v>
      </c>
    </row>
    <row r="11" spans="1:39" x14ac:dyDescent="0.3">
      <c r="A11" s="3" t="s">
        <v>26</v>
      </c>
      <c r="B11" s="3" t="s">
        <v>25</v>
      </c>
      <c r="C11" s="3" t="s">
        <v>22</v>
      </c>
      <c r="D11" s="3" t="s">
        <v>23</v>
      </c>
      <c r="E11" s="3" t="s">
        <v>24</v>
      </c>
      <c r="F11" s="3" t="s">
        <v>15</v>
      </c>
      <c r="G11" s="3" t="s">
        <v>10</v>
      </c>
      <c r="H11" s="3" t="s">
        <v>11</v>
      </c>
      <c r="I11" s="3" t="s">
        <v>12</v>
      </c>
      <c r="J11" s="3" t="s">
        <v>13</v>
      </c>
      <c r="K11" s="3" t="s">
        <v>14</v>
      </c>
      <c r="L11" s="3" t="s">
        <v>5</v>
      </c>
      <c r="M11" s="3" t="s">
        <v>6</v>
      </c>
      <c r="N11" s="3" t="s">
        <v>21</v>
      </c>
      <c r="O11" s="3" t="s">
        <v>7</v>
      </c>
      <c r="P11" s="3" t="s">
        <v>8</v>
      </c>
      <c r="Q11" s="3" t="s">
        <v>9</v>
      </c>
      <c r="R11" s="3" t="s">
        <v>8</v>
      </c>
      <c r="S11" s="3" t="s">
        <v>7</v>
      </c>
      <c r="T11" s="3" t="s">
        <v>21</v>
      </c>
      <c r="U11" s="3" t="s">
        <v>6</v>
      </c>
      <c r="V11" s="3" t="s">
        <v>5</v>
      </c>
      <c r="W11" s="3" t="s">
        <v>14</v>
      </c>
      <c r="X11" s="3" t="s">
        <v>13</v>
      </c>
      <c r="Y11" s="3" t="s">
        <v>12</v>
      </c>
      <c r="Z11" s="3" t="s">
        <v>11</v>
      </c>
      <c r="AA11" s="3" t="s">
        <v>10</v>
      </c>
      <c r="AB11" s="3" t="s">
        <v>15</v>
      </c>
      <c r="AC11" s="3" t="s">
        <v>24</v>
      </c>
      <c r="AD11" s="3" t="s">
        <v>23</v>
      </c>
      <c r="AE11" s="3" t="s">
        <v>22</v>
      </c>
      <c r="AF11" s="3" t="s">
        <v>25</v>
      </c>
      <c r="AG11" s="3" t="s">
        <v>26</v>
      </c>
      <c r="AM11" t="s">
        <v>16</v>
      </c>
    </row>
    <row r="12" spans="1:39" x14ac:dyDescent="0.3">
      <c r="A12" s="7">
        <v>45677.571458333332</v>
      </c>
      <c r="B12" s="9">
        <v>907.15</v>
      </c>
      <c r="C12">
        <v>1270.6666666666667</v>
      </c>
      <c r="D12">
        <v>953</v>
      </c>
      <c r="E12">
        <v>953</v>
      </c>
      <c r="F12">
        <v>54715</v>
      </c>
      <c r="M12">
        <v>2</v>
      </c>
      <c r="N12">
        <v>1</v>
      </c>
      <c r="O12">
        <v>45.850000000000023</v>
      </c>
      <c r="P12">
        <v>953</v>
      </c>
      <c r="Q12" s="6">
        <f t="shared" ref="Q12:Q30" si="0">Q13-50</f>
        <v>22350</v>
      </c>
      <c r="R12">
        <v>5.3</v>
      </c>
      <c r="S12">
        <v>-3.2500000000000009</v>
      </c>
      <c r="T12">
        <v>126956</v>
      </c>
      <c r="U12">
        <v>13480</v>
      </c>
      <c r="AB12">
        <v>54716</v>
      </c>
      <c r="AC12">
        <v>4.6500000000000004</v>
      </c>
      <c r="AD12">
        <v>11.1</v>
      </c>
      <c r="AE12">
        <v>6.8666666666666663</v>
      </c>
      <c r="AF12">
        <v>8.5500000000000007</v>
      </c>
      <c r="AG12" s="7">
        <v>45677.571458333332</v>
      </c>
    </row>
    <row r="13" spans="1:39" x14ac:dyDescent="0.3">
      <c r="A13" s="7">
        <v>45677.571469907409</v>
      </c>
      <c r="B13" s="9">
        <v>850.8</v>
      </c>
      <c r="C13">
        <v>1160.0666666666666</v>
      </c>
      <c r="D13">
        <v>983.2</v>
      </c>
      <c r="E13">
        <v>805</v>
      </c>
      <c r="F13">
        <v>54717</v>
      </c>
      <c r="M13">
        <v>89</v>
      </c>
      <c r="N13">
        <v>136</v>
      </c>
      <c r="O13">
        <v>120.70000000000005</v>
      </c>
      <c r="P13">
        <v>971.5</v>
      </c>
      <c r="Q13" s="6">
        <f t="shared" si="0"/>
        <v>22400</v>
      </c>
      <c r="R13">
        <v>5.85</v>
      </c>
      <c r="S13">
        <v>-4.2000000000000011</v>
      </c>
      <c r="T13">
        <v>335865</v>
      </c>
      <c r="U13">
        <v>33771</v>
      </c>
      <c r="AB13">
        <v>54718</v>
      </c>
      <c r="AC13">
        <v>5.35</v>
      </c>
      <c r="AD13">
        <v>13.4</v>
      </c>
      <c r="AE13">
        <v>10.733333333333333</v>
      </c>
      <c r="AF13">
        <v>10.050000000000001</v>
      </c>
      <c r="AG13" s="7">
        <v>45677.571469907409</v>
      </c>
    </row>
    <row r="14" spans="1:39" x14ac:dyDescent="0.3">
      <c r="A14" s="7">
        <v>45677.569398148145</v>
      </c>
      <c r="B14" s="9">
        <v>796.35</v>
      </c>
      <c r="C14">
        <v>1041.8666666666666</v>
      </c>
      <c r="D14">
        <v>970.45</v>
      </c>
      <c r="E14">
        <v>760.95</v>
      </c>
      <c r="F14">
        <v>54749</v>
      </c>
      <c r="M14">
        <v>84</v>
      </c>
      <c r="N14">
        <v>139</v>
      </c>
      <c r="O14">
        <v>136.14999999999998</v>
      </c>
      <c r="P14">
        <v>932.5</v>
      </c>
      <c r="Q14" s="6">
        <f t="shared" si="0"/>
        <v>22450</v>
      </c>
      <c r="R14">
        <v>6.55</v>
      </c>
      <c r="S14">
        <v>-5.05</v>
      </c>
      <c r="T14">
        <v>203028</v>
      </c>
      <c r="U14">
        <v>12956</v>
      </c>
      <c r="AB14">
        <v>54751</v>
      </c>
      <c r="AC14">
        <v>6.1</v>
      </c>
      <c r="AD14">
        <v>16.05</v>
      </c>
      <c r="AE14">
        <v>9.2666666666666675</v>
      </c>
      <c r="AF14">
        <v>11.6</v>
      </c>
      <c r="AG14" s="7">
        <v>45677.571458333332</v>
      </c>
    </row>
    <row r="15" spans="1:39" x14ac:dyDescent="0.3">
      <c r="A15" s="7">
        <v>45677.571469907409</v>
      </c>
      <c r="B15" s="9">
        <v>749.5</v>
      </c>
      <c r="C15">
        <v>1056.0666666666666</v>
      </c>
      <c r="D15">
        <v>922</v>
      </c>
      <c r="E15">
        <v>706.25</v>
      </c>
      <c r="F15">
        <v>54752</v>
      </c>
      <c r="M15">
        <v>781</v>
      </c>
      <c r="N15">
        <v>1673</v>
      </c>
      <c r="O15">
        <v>124.20000000000005</v>
      </c>
      <c r="P15">
        <v>873.7</v>
      </c>
      <c r="Q15" s="6">
        <f t="shared" si="0"/>
        <v>22500</v>
      </c>
      <c r="R15">
        <v>7.4</v>
      </c>
      <c r="S15">
        <v>-6.5499999999999989</v>
      </c>
      <c r="T15">
        <v>506745</v>
      </c>
      <c r="U15">
        <v>74762</v>
      </c>
      <c r="AB15">
        <v>54753</v>
      </c>
      <c r="AC15">
        <v>7</v>
      </c>
      <c r="AD15">
        <v>19.55</v>
      </c>
      <c r="AE15">
        <v>15.8</v>
      </c>
      <c r="AF15">
        <v>13.95</v>
      </c>
      <c r="AG15" s="7">
        <v>45677.571469907409</v>
      </c>
    </row>
    <row r="16" spans="1:39" x14ac:dyDescent="0.3">
      <c r="A16" s="7">
        <v>45677.571458333332</v>
      </c>
      <c r="B16" s="9">
        <v>727</v>
      </c>
      <c r="C16">
        <v>892.66666666666663</v>
      </c>
      <c r="D16">
        <v>842.95</v>
      </c>
      <c r="E16">
        <v>669.5</v>
      </c>
      <c r="F16">
        <v>54754</v>
      </c>
      <c r="M16">
        <v>50</v>
      </c>
      <c r="N16">
        <v>84</v>
      </c>
      <c r="O16">
        <v>106.29999999999995</v>
      </c>
      <c r="P16">
        <v>833.3</v>
      </c>
      <c r="Q16" s="6">
        <f t="shared" si="0"/>
        <v>22550</v>
      </c>
      <c r="R16">
        <v>8.25</v>
      </c>
      <c r="S16">
        <v>-8</v>
      </c>
      <c r="T16">
        <v>224040</v>
      </c>
      <c r="U16">
        <v>14727</v>
      </c>
      <c r="AB16">
        <v>54755</v>
      </c>
      <c r="AC16">
        <v>7.75</v>
      </c>
      <c r="AD16">
        <v>23.35</v>
      </c>
      <c r="AE16">
        <v>14.933333333333334</v>
      </c>
      <c r="AF16">
        <v>16.25</v>
      </c>
      <c r="AG16" s="7">
        <v>45677.571458333332</v>
      </c>
    </row>
    <row r="17" spans="1:33" x14ac:dyDescent="0.3">
      <c r="A17" s="7">
        <v>45677.571469907409</v>
      </c>
      <c r="B17" s="9">
        <v>652.65</v>
      </c>
      <c r="C17">
        <v>941.5333333333333</v>
      </c>
      <c r="D17">
        <v>820</v>
      </c>
      <c r="E17">
        <v>616.4</v>
      </c>
      <c r="F17">
        <v>54756</v>
      </c>
      <c r="M17">
        <v>215</v>
      </c>
      <c r="N17">
        <v>308</v>
      </c>
      <c r="O17">
        <v>130.75</v>
      </c>
      <c r="P17">
        <v>783.4</v>
      </c>
      <c r="Q17" s="6">
        <f t="shared" si="0"/>
        <v>22600</v>
      </c>
      <c r="R17">
        <v>9.25</v>
      </c>
      <c r="S17">
        <v>-9.6999999999999993</v>
      </c>
      <c r="T17">
        <v>401071</v>
      </c>
      <c r="U17">
        <v>38118</v>
      </c>
      <c r="AB17">
        <v>54757</v>
      </c>
      <c r="AC17">
        <v>8.8000000000000007</v>
      </c>
      <c r="AD17">
        <v>27.85</v>
      </c>
      <c r="AE17">
        <v>28.066666666666666</v>
      </c>
      <c r="AF17">
        <v>18.95</v>
      </c>
      <c r="AG17" s="7">
        <v>45677.571469907409</v>
      </c>
    </row>
    <row r="18" spans="1:33" x14ac:dyDescent="0.3">
      <c r="A18" s="7">
        <v>45677.571469907409</v>
      </c>
      <c r="B18" s="9">
        <v>606.35</v>
      </c>
      <c r="C18">
        <v>803.06666666666672</v>
      </c>
      <c r="D18">
        <v>743.2</v>
      </c>
      <c r="E18">
        <v>578.4</v>
      </c>
      <c r="F18">
        <v>54758</v>
      </c>
      <c r="M18">
        <v>109</v>
      </c>
      <c r="N18">
        <v>245</v>
      </c>
      <c r="O18">
        <v>116.54999999999995</v>
      </c>
      <c r="P18">
        <v>722.9</v>
      </c>
      <c r="Q18" s="6">
        <f t="shared" si="0"/>
        <v>22650</v>
      </c>
      <c r="R18">
        <v>10.7</v>
      </c>
      <c r="S18">
        <v>-11.900000000000002</v>
      </c>
      <c r="T18">
        <v>235763</v>
      </c>
      <c r="U18">
        <v>16550</v>
      </c>
      <c r="AB18">
        <v>54761</v>
      </c>
      <c r="AC18">
        <v>10.1</v>
      </c>
      <c r="AD18">
        <v>33.35</v>
      </c>
      <c r="AE18">
        <v>23.533333333333335</v>
      </c>
      <c r="AF18">
        <v>22.6</v>
      </c>
      <c r="AG18" s="7">
        <v>45677.571469907409</v>
      </c>
    </row>
    <row r="19" spans="1:33" x14ac:dyDescent="0.3">
      <c r="A19" s="7">
        <v>45677.571469907409</v>
      </c>
      <c r="B19" s="9">
        <v>560.9</v>
      </c>
      <c r="C19">
        <v>820</v>
      </c>
      <c r="D19">
        <v>729.6</v>
      </c>
      <c r="E19">
        <v>526.1</v>
      </c>
      <c r="F19">
        <v>54762</v>
      </c>
      <c r="M19">
        <v>559</v>
      </c>
      <c r="N19">
        <v>1572</v>
      </c>
      <c r="O19">
        <v>118.25</v>
      </c>
      <c r="P19">
        <v>679.15</v>
      </c>
      <c r="Q19" s="6">
        <f t="shared" si="0"/>
        <v>22700</v>
      </c>
      <c r="R19">
        <v>12.6</v>
      </c>
      <c r="S19">
        <v>-14.250000000000002</v>
      </c>
      <c r="T19">
        <v>554919</v>
      </c>
      <c r="U19">
        <v>38168</v>
      </c>
      <c r="AB19">
        <v>54763</v>
      </c>
      <c r="AC19">
        <v>11.75</v>
      </c>
      <c r="AD19">
        <v>39.799999999999997</v>
      </c>
      <c r="AE19">
        <v>31.8</v>
      </c>
      <c r="AF19">
        <v>26.85</v>
      </c>
      <c r="AG19" s="7">
        <v>45677.571458333332</v>
      </c>
    </row>
    <row r="20" spans="1:33" x14ac:dyDescent="0.3">
      <c r="A20" s="7">
        <v>45677.571458333332</v>
      </c>
      <c r="B20" s="9">
        <v>518.15</v>
      </c>
      <c r="C20">
        <v>732.4666666666667</v>
      </c>
      <c r="D20">
        <v>650.6</v>
      </c>
      <c r="E20">
        <v>485</v>
      </c>
      <c r="F20">
        <v>54764</v>
      </c>
      <c r="M20">
        <v>321</v>
      </c>
      <c r="N20">
        <v>664</v>
      </c>
      <c r="O20">
        <v>112</v>
      </c>
      <c r="P20">
        <v>630.15</v>
      </c>
      <c r="Q20" s="6">
        <f t="shared" si="0"/>
        <v>22750</v>
      </c>
      <c r="R20">
        <v>14.6</v>
      </c>
      <c r="S20">
        <v>-18.049999999999997</v>
      </c>
      <c r="T20">
        <v>296814</v>
      </c>
      <c r="U20">
        <v>18875</v>
      </c>
      <c r="AB20">
        <v>54767</v>
      </c>
      <c r="AC20">
        <v>13.75</v>
      </c>
      <c r="AD20">
        <v>48.4</v>
      </c>
      <c r="AE20">
        <v>43.533333333333331</v>
      </c>
      <c r="AF20">
        <v>32.65</v>
      </c>
      <c r="AG20" s="7">
        <v>45677.571469907409</v>
      </c>
    </row>
    <row r="21" spans="1:33" x14ac:dyDescent="0.3">
      <c r="A21" s="7">
        <v>45677.571469907409</v>
      </c>
      <c r="B21" s="9">
        <v>476.4</v>
      </c>
      <c r="C21">
        <v>698.66666666666663</v>
      </c>
      <c r="D21">
        <v>632.1</v>
      </c>
      <c r="E21">
        <v>442.25</v>
      </c>
      <c r="F21">
        <v>54768</v>
      </c>
      <c r="M21">
        <v>1508</v>
      </c>
      <c r="N21">
        <v>5708</v>
      </c>
      <c r="O21">
        <v>108.75</v>
      </c>
      <c r="P21">
        <v>585.15</v>
      </c>
      <c r="Q21" s="6">
        <f t="shared" si="0"/>
        <v>22800</v>
      </c>
      <c r="R21">
        <v>17.5</v>
      </c>
      <c r="S21">
        <v>-21.549999999999997</v>
      </c>
      <c r="T21">
        <v>803334</v>
      </c>
      <c r="U21">
        <v>50110</v>
      </c>
      <c r="AB21">
        <v>54769</v>
      </c>
      <c r="AC21">
        <v>16.2</v>
      </c>
      <c r="AD21">
        <v>57.1</v>
      </c>
      <c r="AE21">
        <v>40</v>
      </c>
      <c r="AF21">
        <v>39.049999999999997</v>
      </c>
      <c r="AG21" s="7">
        <v>45677.571469907409</v>
      </c>
    </row>
    <row r="22" spans="1:33" x14ac:dyDescent="0.3">
      <c r="A22" s="7">
        <v>45677.571469907409</v>
      </c>
      <c r="B22" s="9">
        <v>431.35</v>
      </c>
      <c r="C22">
        <v>623.93333333333328</v>
      </c>
      <c r="D22">
        <v>585.79999999999995</v>
      </c>
      <c r="E22">
        <v>403.1</v>
      </c>
      <c r="F22">
        <v>54770</v>
      </c>
      <c r="M22">
        <v>579</v>
      </c>
      <c r="N22">
        <v>1337</v>
      </c>
      <c r="O22">
        <v>103.54999999999995</v>
      </c>
      <c r="P22">
        <v>534.9</v>
      </c>
      <c r="Q22" s="6">
        <f t="shared" si="0"/>
        <v>22850</v>
      </c>
      <c r="R22">
        <v>20.85</v>
      </c>
      <c r="S22">
        <v>-26</v>
      </c>
      <c r="T22">
        <v>297930</v>
      </c>
      <c r="U22">
        <v>20749</v>
      </c>
      <c r="AB22">
        <v>54771</v>
      </c>
      <c r="AC22">
        <v>18.95</v>
      </c>
      <c r="AD22">
        <v>68.05</v>
      </c>
      <c r="AE22">
        <v>63.2</v>
      </c>
      <c r="AF22">
        <v>46.85</v>
      </c>
      <c r="AG22" s="7">
        <v>45677.571469907409</v>
      </c>
    </row>
    <row r="23" spans="1:33" x14ac:dyDescent="0.3">
      <c r="A23" s="7">
        <v>45677.571458333332</v>
      </c>
      <c r="B23" s="9">
        <v>393.25</v>
      </c>
      <c r="C23">
        <v>578.06666666666672</v>
      </c>
      <c r="D23">
        <v>539.5</v>
      </c>
      <c r="E23">
        <v>364.5</v>
      </c>
      <c r="F23">
        <v>54772</v>
      </c>
      <c r="M23">
        <v>1381</v>
      </c>
      <c r="N23">
        <v>8679</v>
      </c>
      <c r="O23">
        <v>100.25</v>
      </c>
      <c r="P23">
        <v>493.5</v>
      </c>
      <c r="Q23" s="6">
        <f t="shared" si="0"/>
        <v>22900</v>
      </c>
      <c r="R23">
        <v>25.2</v>
      </c>
      <c r="S23">
        <v>-30.349999999999998</v>
      </c>
      <c r="T23">
        <v>540378</v>
      </c>
      <c r="U23">
        <v>37916</v>
      </c>
      <c r="AB23">
        <v>54773</v>
      </c>
      <c r="AC23">
        <v>22.65</v>
      </c>
      <c r="AD23">
        <v>78.349999999999994</v>
      </c>
      <c r="AE23">
        <v>58.466666666666669</v>
      </c>
      <c r="AF23">
        <v>55.55</v>
      </c>
      <c r="AG23" s="7">
        <v>45677.571458333332</v>
      </c>
    </row>
    <row r="24" spans="1:33" x14ac:dyDescent="0.3">
      <c r="A24" s="7">
        <v>45677.571469907409</v>
      </c>
      <c r="B24" s="9">
        <v>350.8</v>
      </c>
      <c r="C24">
        <v>498.73333333333335</v>
      </c>
      <c r="D24">
        <v>493.5</v>
      </c>
      <c r="E24">
        <v>327.95</v>
      </c>
      <c r="F24">
        <v>54774</v>
      </c>
      <c r="M24">
        <v>1163</v>
      </c>
      <c r="N24">
        <v>5008</v>
      </c>
      <c r="O24">
        <v>96.699999999999989</v>
      </c>
      <c r="P24">
        <v>447.5</v>
      </c>
      <c r="Q24" s="6">
        <f t="shared" si="0"/>
        <v>22950</v>
      </c>
      <c r="R24">
        <v>30.35</v>
      </c>
      <c r="S24">
        <v>-35.949999999999996</v>
      </c>
      <c r="T24">
        <v>345150</v>
      </c>
      <c r="U24">
        <v>26117</v>
      </c>
      <c r="AB24">
        <v>54775</v>
      </c>
      <c r="AC24">
        <v>26.95</v>
      </c>
      <c r="AD24">
        <v>92.75</v>
      </c>
      <c r="AE24">
        <v>63.866666666666667</v>
      </c>
      <c r="AF24">
        <v>66.3</v>
      </c>
      <c r="AG24" s="7">
        <v>45677.571469907409</v>
      </c>
    </row>
    <row r="25" spans="1:33" x14ac:dyDescent="0.3">
      <c r="A25" s="7">
        <v>45677.571469907409</v>
      </c>
      <c r="B25" s="9">
        <v>314.64999999999998</v>
      </c>
      <c r="C25">
        <v>466.66666666666669</v>
      </c>
      <c r="D25">
        <v>449.95</v>
      </c>
      <c r="E25">
        <v>292.5</v>
      </c>
      <c r="F25">
        <v>54776</v>
      </c>
      <c r="M25">
        <v>9708</v>
      </c>
      <c r="N25">
        <v>105747</v>
      </c>
      <c r="O25">
        <v>92.100000000000023</v>
      </c>
      <c r="P25">
        <v>406.75</v>
      </c>
      <c r="Q25" s="6">
        <f t="shared" si="0"/>
        <v>23000</v>
      </c>
      <c r="R25">
        <v>37.450000000000003</v>
      </c>
      <c r="S25">
        <v>-40.950000000000003</v>
      </c>
      <c r="T25">
        <v>1071311</v>
      </c>
      <c r="U25">
        <v>113407</v>
      </c>
      <c r="AB25">
        <v>54777</v>
      </c>
      <c r="AC25">
        <v>32.450000000000003</v>
      </c>
      <c r="AD25">
        <v>107</v>
      </c>
      <c r="AE25">
        <v>73.266666666666666</v>
      </c>
      <c r="AF25">
        <v>78.400000000000006</v>
      </c>
      <c r="AG25" s="7">
        <v>45677.569398148145</v>
      </c>
    </row>
    <row r="26" spans="1:33" x14ac:dyDescent="0.3">
      <c r="A26" s="7">
        <v>45677.569386574076</v>
      </c>
      <c r="B26" s="9">
        <v>279.14999999999998</v>
      </c>
      <c r="C26">
        <v>368.86666666666667</v>
      </c>
      <c r="D26">
        <v>405.85</v>
      </c>
      <c r="E26">
        <v>259</v>
      </c>
      <c r="F26">
        <v>54778</v>
      </c>
      <c r="M26">
        <v>3498</v>
      </c>
      <c r="N26">
        <v>31478</v>
      </c>
      <c r="O26">
        <v>82.100000000000023</v>
      </c>
      <c r="P26">
        <v>361.25</v>
      </c>
      <c r="Q26" s="6">
        <f t="shared" si="0"/>
        <v>23050</v>
      </c>
      <c r="R26">
        <v>45.85</v>
      </c>
      <c r="S26">
        <v>-46.6</v>
      </c>
      <c r="T26">
        <v>365810</v>
      </c>
      <c r="U26">
        <v>24773</v>
      </c>
      <c r="AB26">
        <v>54779</v>
      </c>
      <c r="AC26">
        <v>39.549999999999997</v>
      </c>
      <c r="AD26">
        <v>124.15</v>
      </c>
      <c r="AE26">
        <v>101.86666666666666</v>
      </c>
      <c r="AF26">
        <v>92.45</v>
      </c>
      <c r="AG26" s="7">
        <v>45677.569398148145</v>
      </c>
    </row>
    <row r="27" spans="1:33" x14ac:dyDescent="0.3">
      <c r="A27" s="7">
        <v>45677.569409722222</v>
      </c>
      <c r="B27" s="9">
        <v>244.85</v>
      </c>
      <c r="C27">
        <v>353.13333333333333</v>
      </c>
      <c r="D27">
        <v>366</v>
      </c>
      <c r="E27">
        <v>226.8</v>
      </c>
      <c r="F27">
        <v>54780</v>
      </c>
      <c r="M27">
        <v>13679</v>
      </c>
      <c r="N27">
        <v>178378</v>
      </c>
      <c r="O27">
        <v>76.200000000000017</v>
      </c>
      <c r="P27">
        <v>321.05</v>
      </c>
      <c r="Q27" s="6">
        <f t="shared" si="0"/>
        <v>23100</v>
      </c>
      <c r="R27">
        <v>56</v>
      </c>
      <c r="S27">
        <v>-52.55</v>
      </c>
      <c r="T27">
        <v>779189</v>
      </c>
      <c r="U27">
        <v>68596</v>
      </c>
      <c r="AB27">
        <v>54783</v>
      </c>
      <c r="AC27">
        <v>47.9</v>
      </c>
      <c r="AD27">
        <v>143.15</v>
      </c>
      <c r="AE27">
        <v>102.13333333333334</v>
      </c>
      <c r="AF27">
        <v>108.55</v>
      </c>
      <c r="AG27" s="7">
        <v>45677.569398148145</v>
      </c>
    </row>
    <row r="28" spans="1:33" x14ac:dyDescent="0.3">
      <c r="A28" s="7">
        <v>45677.569398148145</v>
      </c>
      <c r="B28" s="9">
        <v>213.55</v>
      </c>
      <c r="C28">
        <v>288</v>
      </c>
      <c r="D28">
        <v>325.45</v>
      </c>
      <c r="E28">
        <v>196</v>
      </c>
      <c r="F28">
        <v>54784</v>
      </c>
      <c r="M28">
        <v>10605</v>
      </c>
      <c r="N28">
        <v>197402</v>
      </c>
      <c r="O28">
        <v>69.050000000000011</v>
      </c>
      <c r="P28">
        <v>282.60000000000002</v>
      </c>
      <c r="Q28" s="6">
        <f t="shared" si="0"/>
        <v>23150</v>
      </c>
      <c r="R28">
        <v>67.599999999999994</v>
      </c>
      <c r="S28">
        <v>-59.100000000000009</v>
      </c>
      <c r="T28">
        <v>581594</v>
      </c>
      <c r="U28">
        <v>39918</v>
      </c>
      <c r="AB28">
        <v>54785</v>
      </c>
      <c r="AC28">
        <v>57.95</v>
      </c>
      <c r="AD28">
        <v>164.75</v>
      </c>
      <c r="AE28">
        <v>125.33333333333333</v>
      </c>
      <c r="AF28">
        <v>126.7</v>
      </c>
      <c r="AG28" s="7">
        <v>45677.569398148145</v>
      </c>
    </row>
    <row r="29" spans="1:33" x14ac:dyDescent="0.3">
      <c r="A29" s="7">
        <v>45677.569409722222</v>
      </c>
      <c r="B29" s="9">
        <v>183.8</v>
      </c>
      <c r="C29">
        <v>274</v>
      </c>
      <c r="D29">
        <v>287.10000000000002</v>
      </c>
      <c r="E29">
        <v>167.1</v>
      </c>
      <c r="F29">
        <v>54786</v>
      </c>
      <c r="M29">
        <v>41191</v>
      </c>
      <c r="N29">
        <v>1026329</v>
      </c>
      <c r="O29">
        <v>63</v>
      </c>
      <c r="P29">
        <v>246.8</v>
      </c>
      <c r="Q29" s="6">
        <f t="shared" si="0"/>
        <v>23200</v>
      </c>
      <c r="R29">
        <v>81.5</v>
      </c>
      <c r="S29">
        <v>-65.400000000000006</v>
      </c>
      <c r="T29">
        <v>1467704</v>
      </c>
      <c r="U29">
        <v>114805</v>
      </c>
      <c r="AB29">
        <v>54856</v>
      </c>
      <c r="AC29">
        <v>69.849999999999994</v>
      </c>
      <c r="AD29">
        <v>187.4</v>
      </c>
      <c r="AE29">
        <v>178.93333333333334</v>
      </c>
      <c r="AF29">
        <v>146.9</v>
      </c>
      <c r="AG29" s="7">
        <v>45677.569398148145</v>
      </c>
    </row>
    <row r="30" spans="1:33" x14ac:dyDescent="0.3">
      <c r="A30" s="7">
        <v>45677.571469907409</v>
      </c>
      <c r="B30" s="9">
        <v>156.9</v>
      </c>
      <c r="C30">
        <v>233.13333333333333</v>
      </c>
      <c r="D30">
        <v>250.85</v>
      </c>
      <c r="E30">
        <v>141.19999999999999</v>
      </c>
      <c r="F30">
        <v>54857</v>
      </c>
      <c r="M30">
        <v>22509</v>
      </c>
      <c r="N30">
        <v>827138</v>
      </c>
      <c r="O30">
        <v>58.199999999999989</v>
      </c>
      <c r="P30">
        <v>215.1</v>
      </c>
      <c r="Q30" s="6">
        <f t="shared" si="0"/>
        <v>23250</v>
      </c>
      <c r="R30">
        <v>95.8</v>
      </c>
      <c r="S30">
        <v>-73.55</v>
      </c>
      <c r="T30">
        <v>889732</v>
      </c>
      <c r="U30">
        <v>51126</v>
      </c>
      <c r="AB30">
        <v>54934</v>
      </c>
      <c r="AC30">
        <v>83.4</v>
      </c>
      <c r="AD30">
        <v>213.25</v>
      </c>
      <c r="AE30">
        <v>169.73333333333332</v>
      </c>
      <c r="AF30">
        <v>169.35</v>
      </c>
      <c r="AG30" s="7">
        <v>45677.571469907409</v>
      </c>
    </row>
    <row r="31" spans="1:33" x14ac:dyDescent="0.3">
      <c r="A31" s="7">
        <v>45677.569409722222</v>
      </c>
      <c r="B31" s="9">
        <v>131.80000000000001</v>
      </c>
      <c r="C31">
        <v>214.66666666666666</v>
      </c>
      <c r="D31">
        <v>216.95</v>
      </c>
      <c r="E31">
        <v>117.45</v>
      </c>
      <c r="F31">
        <v>54937</v>
      </c>
      <c r="M31">
        <v>58901</v>
      </c>
      <c r="N31">
        <v>1450480</v>
      </c>
      <c r="O31">
        <v>49.699999999999989</v>
      </c>
      <c r="P31">
        <v>181.5</v>
      </c>
      <c r="Q31" s="6">
        <f>Q32-50</f>
        <v>23300</v>
      </c>
      <c r="R31">
        <v>115.7</v>
      </c>
      <c r="S31">
        <v>-78.850000000000009</v>
      </c>
      <c r="T31">
        <v>1157648</v>
      </c>
      <c r="U31">
        <v>92991</v>
      </c>
      <c r="AB31">
        <v>54938</v>
      </c>
      <c r="AC31">
        <v>99.4</v>
      </c>
      <c r="AD31">
        <v>240.25</v>
      </c>
      <c r="AE31">
        <v>213.26666666666668</v>
      </c>
      <c r="AF31">
        <v>194.55</v>
      </c>
      <c r="AG31" s="7">
        <v>45677.569409722222</v>
      </c>
    </row>
    <row r="32" spans="1:33" s="4" customFormat="1" x14ac:dyDescent="0.3">
      <c r="A32" s="8">
        <v>45677.569398148145</v>
      </c>
      <c r="B32" s="10">
        <v>109.65</v>
      </c>
      <c r="C32" s="4">
        <v>169.26666666666668</v>
      </c>
      <c r="D32" s="4">
        <v>185.75</v>
      </c>
      <c r="E32" s="4">
        <v>96.75</v>
      </c>
      <c r="F32" s="4">
        <v>54939</v>
      </c>
      <c r="M32" s="4">
        <v>36670</v>
      </c>
      <c r="N32" s="4">
        <v>894923</v>
      </c>
      <c r="O32" s="4">
        <v>43.400000000000006</v>
      </c>
      <c r="P32" s="4">
        <v>153.05000000000001</v>
      </c>
      <c r="Q32" s="5">
        <v>23350</v>
      </c>
      <c r="R32" s="4">
        <v>136.80000000000001</v>
      </c>
      <c r="S32" s="4">
        <v>-85.5</v>
      </c>
      <c r="T32" s="4">
        <v>585037</v>
      </c>
      <c r="U32" s="4">
        <v>45429</v>
      </c>
      <c r="AB32" s="4">
        <v>54940</v>
      </c>
      <c r="AC32" s="4">
        <v>117.75</v>
      </c>
      <c r="AD32" s="4">
        <v>270</v>
      </c>
      <c r="AE32" s="4">
        <v>300.8</v>
      </c>
      <c r="AF32" s="4">
        <v>222.3</v>
      </c>
      <c r="AG32" s="8">
        <v>45677.569409722222</v>
      </c>
    </row>
    <row r="33" spans="1:33" x14ac:dyDescent="0.3">
      <c r="A33" s="7">
        <v>45677.571469907409</v>
      </c>
      <c r="B33" s="9">
        <v>89.6</v>
      </c>
      <c r="C33">
        <v>138.06666666666666</v>
      </c>
      <c r="D33">
        <v>156.35</v>
      </c>
      <c r="E33">
        <v>78.5</v>
      </c>
      <c r="F33">
        <v>54963</v>
      </c>
      <c r="M33">
        <v>60744</v>
      </c>
      <c r="N33">
        <v>1261038</v>
      </c>
      <c r="O33">
        <v>39.050000000000011</v>
      </c>
      <c r="P33">
        <v>128.65</v>
      </c>
      <c r="Q33" s="6">
        <f>Q32+50</f>
        <v>23400</v>
      </c>
      <c r="R33">
        <v>158.4</v>
      </c>
      <c r="S33">
        <v>-94.5</v>
      </c>
      <c r="T33">
        <v>500689</v>
      </c>
      <c r="U33">
        <v>40418</v>
      </c>
      <c r="AB33">
        <v>54964</v>
      </c>
      <c r="AC33">
        <v>138</v>
      </c>
      <c r="AD33">
        <v>301.75</v>
      </c>
      <c r="AE33">
        <v>289.60000000000002</v>
      </c>
      <c r="AF33">
        <v>252.9</v>
      </c>
      <c r="AG33" s="7">
        <v>45677.571469907409</v>
      </c>
    </row>
    <row r="34" spans="1:33" x14ac:dyDescent="0.3">
      <c r="A34" s="7">
        <v>45677.571481481478</v>
      </c>
      <c r="B34" s="9">
        <v>72.2</v>
      </c>
      <c r="C34">
        <v>111.6</v>
      </c>
      <c r="D34">
        <v>130.19999999999999</v>
      </c>
      <c r="E34">
        <v>62.55</v>
      </c>
      <c r="F34">
        <v>54965</v>
      </c>
      <c r="M34">
        <v>24615</v>
      </c>
      <c r="N34">
        <v>632642</v>
      </c>
      <c r="O34">
        <v>33.149999999999991</v>
      </c>
      <c r="P34">
        <v>105.35</v>
      </c>
      <c r="Q34" s="6">
        <f t="shared" ref="Q34:Q52" si="1">Q33+50</f>
        <v>23450</v>
      </c>
      <c r="R34">
        <v>185</v>
      </c>
      <c r="S34">
        <v>-100.30000000000001</v>
      </c>
      <c r="T34">
        <v>107559</v>
      </c>
      <c r="U34">
        <v>7741</v>
      </c>
      <c r="AB34">
        <v>54966</v>
      </c>
      <c r="AC34">
        <v>162.4</v>
      </c>
      <c r="AD34">
        <v>335.15</v>
      </c>
      <c r="AE34">
        <v>345.33333333333331</v>
      </c>
      <c r="AF34">
        <v>285.3</v>
      </c>
      <c r="AG34" s="7">
        <v>45677.571481481478</v>
      </c>
    </row>
    <row r="35" spans="1:33" x14ac:dyDescent="0.3">
      <c r="A35" s="7">
        <v>45677.569398148145</v>
      </c>
      <c r="B35" s="9">
        <v>57.85</v>
      </c>
      <c r="C35">
        <v>81.86666666666666</v>
      </c>
      <c r="D35">
        <v>106.6</v>
      </c>
      <c r="E35">
        <v>49.35</v>
      </c>
      <c r="F35">
        <v>54981</v>
      </c>
      <c r="M35">
        <v>74070</v>
      </c>
      <c r="N35">
        <v>1290473</v>
      </c>
      <c r="O35">
        <v>25.35</v>
      </c>
      <c r="P35">
        <v>83.2</v>
      </c>
      <c r="Q35" s="6">
        <f t="shared" si="1"/>
        <v>23500</v>
      </c>
      <c r="R35">
        <v>217.4</v>
      </c>
      <c r="S35">
        <v>-102.99999999999997</v>
      </c>
      <c r="T35">
        <v>175896</v>
      </c>
      <c r="U35">
        <v>19411</v>
      </c>
      <c r="AB35">
        <v>54982</v>
      </c>
      <c r="AC35">
        <v>189.1</v>
      </c>
      <c r="AD35">
        <v>372.9</v>
      </c>
      <c r="AE35">
        <v>365.8</v>
      </c>
      <c r="AF35">
        <v>320.39999999999998</v>
      </c>
      <c r="AG35" s="7">
        <v>45677.569398148145</v>
      </c>
    </row>
    <row r="36" spans="1:33" x14ac:dyDescent="0.3">
      <c r="A36" s="7">
        <v>45677.569398148145</v>
      </c>
      <c r="B36" s="9">
        <v>45.5</v>
      </c>
      <c r="C36">
        <v>80</v>
      </c>
      <c r="D36">
        <v>85.8</v>
      </c>
      <c r="E36">
        <v>38.5</v>
      </c>
      <c r="F36">
        <v>54983</v>
      </c>
      <c r="M36">
        <v>26747</v>
      </c>
      <c r="N36">
        <v>538259</v>
      </c>
      <c r="O36">
        <v>20.450000000000003</v>
      </c>
      <c r="P36">
        <v>65.95</v>
      </c>
      <c r="Q36" s="6">
        <f t="shared" si="1"/>
        <v>23550</v>
      </c>
      <c r="R36">
        <v>250.45</v>
      </c>
      <c r="S36">
        <v>-108.75</v>
      </c>
      <c r="T36">
        <v>23055</v>
      </c>
      <c r="U36">
        <v>3025</v>
      </c>
      <c r="AB36">
        <v>54984</v>
      </c>
      <c r="AC36">
        <v>218.8</v>
      </c>
      <c r="AD36">
        <v>411.2</v>
      </c>
      <c r="AE36">
        <v>393.73333333333335</v>
      </c>
      <c r="AF36">
        <v>359.2</v>
      </c>
      <c r="AG36" s="7">
        <v>45677.569409722222</v>
      </c>
    </row>
    <row r="37" spans="1:33" x14ac:dyDescent="0.3">
      <c r="A37" s="7">
        <v>45677.569398148145</v>
      </c>
      <c r="B37" s="9">
        <v>35.35</v>
      </c>
      <c r="C37">
        <v>53.333333333333336</v>
      </c>
      <c r="D37">
        <v>67.7</v>
      </c>
      <c r="E37">
        <v>29.6</v>
      </c>
      <c r="F37">
        <v>54985</v>
      </c>
      <c r="M37">
        <v>75015</v>
      </c>
      <c r="N37">
        <v>944262</v>
      </c>
      <c r="O37">
        <v>15.399999999999999</v>
      </c>
      <c r="P37">
        <v>50.75</v>
      </c>
      <c r="Q37" s="6">
        <f t="shared" si="1"/>
        <v>23600</v>
      </c>
      <c r="R37">
        <v>285.10000000000002</v>
      </c>
      <c r="S37">
        <v>-113.59999999999997</v>
      </c>
      <c r="T37">
        <v>36471</v>
      </c>
      <c r="U37">
        <v>6465</v>
      </c>
      <c r="AB37">
        <v>54986</v>
      </c>
      <c r="AC37">
        <v>250.4</v>
      </c>
      <c r="AD37">
        <v>450.1</v>
      </c>
      <c r="AE37">
        <v>455.4</v>
      </c>
      <c r="AF37">
        <v>398.7</v>
      </c>
      <c r="AG37" s="7">
        <v>45677.569398148145</v>
      </c>
    </row>
    <row r="38" spans="1:33" x14ac:dyDescent="0.3">
      <c r="A38" s="7">
        <v>45677.569398148145</v>
      </c>
      <c r="B38" s="9">
        <v>27.45</v>
      </c>
      <c r="C38">
        <v>54.666666666666664</v>
      </c>
      <c r="D38">
        <v>52.45</v>
      </c>
      <c r="E38">
        <v>22.4</v>
      </c>
      <c r="F38">
        <v>54987</v>
      </c>
      <c r="M38">
        <v>29547</v>
      </c>
      <c r="N38">
        <v>530702</v>
      </c>
      <c r="O38">
        <v>11.45</v>
      </c>
      <c r="P38">
        <v>38.9</v>
      </c>
      <c r="Q38" s="6">
        <f t="shared" si="1"/>
        <v>23650</v>
      </c>
      <c r="R38">
        <v>321.75</v>
      </c>
      <c r="S38">
        <v>-118.30000000000001</v>
      </c>
      <c r="T38">
        <v>4928</v>
      </c>
      <c r="U38">
        <v>1317</v>
      </c>
      <c r="AB38">
        <v>54988</v>
      </c>
      <c r="AC38">
        <v>286.3</v>
      </c>
      <c r="AD38">
        <v>491.25</v>
      </c>
      <c r="AE38">
        <v>505.73333333333335</v>
      </c>
      <c r="AF38">
        <v>440.05</v>
      </c>
      <c r="AG38" s="7">
        <v>45677.569386574076</v>
      </c>
    </row>
    <row r="39" spans="1:33" x14ac:dyDescent="0.3">
      <c r="A39" s="7">
        <v>45677.569398148145</v>
      </c>
      <c r="B39" s="9">
        <v>20.95</v>
      </c>
      <c r="C39">
        <v>34.666666666666664</v>
      </c>
      <c r="D39">
        <v>40</v>
      </c>
      <c r="E39">
        <v>17.05</v>
      </c>
      <c r="F39">
        <v>54989</v>
      </c>
      <c r="M39">
        <v>66355</v>
      </c>
      <c r="N39">
        <v>980895</v>
      </c>
      <c r="O39">
        <v>8.25</v>
      </c>
      <c r="P39">
        <v>29.2</v>
      </c>
      <c r="Q39" s="6">
        <f t="shared" si="1"/>
        <v>23700</v>
      </c>
      <c r="R39">
        <v>359.8</v>
      </c>
      <c r="S39">
        <v>-124.64999999999998</v>
      </c>
      <c r="T39">
        <v>10447</v>
      </c>
      <c r="U39">
        <v>5025</v>
      </c>
      <c r="AB39">
        <v>54990</v>
      </c>
      <c r="AC39">
        <v>323</v>
      </c>
      <c r="AD39">
        <v>534.45000000000005</v>
      </c>
      <c r="AE39">
        <v>572.79999999999995</v>
      </c>
      <c r="AF39">
        <v>484.45</v>
      </c>
      <c r="AG39" s="7">
        <v>45677.571458333332</v>
      </c>
    </row>
    <row r="40" spans="1:33" x14ac:dyDescent="0.3">
      <c r="A40" s="7">
        <v>45677.571481481478</v>
      </c>
      <c r="B40" s="9">
        <v>16.100000000000001</v>
      </c>
      <c r="C40">
        <v>25.066666666666666</v>
      </c>
      <c r="D40">
        <v>30.3</v>
      </c>
      <c r="E40">
        <v>13</v>
      </c>
      <c r="F40">
        <v>54991</v>
      </c>
      <c r="M40">
        <v>28110</v>
      </c>
      <c r="N40">
        <v>497478</v>
      </c>
      <c r="O40">
        <v>6.0999999999999979</v>
      </c>
      <c r="P40">
        <v>22.2</v>
      </c>
      <c r="Q40" s="6">
        <f t="shared" si="1"/>
        <v>23750</v>
      </c>
      <c r="R40">
        <v>403.8</v>
      </c>
      <c r="S40">
        <v>-125.05000000000001</v>
      </c>
      <c r="T40">
        <v>1313</v>
      </c>
      <c r="U40">
        <v>419</v>
      </c>
      <c r="AB40">
        <v>54994</v>
      </c>
      <c r="AC40">
        <v>364.65</v>
      </c>
      <c r="AD40">
        <v>580</v>
      </c>
      <c r="AE40">
        <v>659.13333333333333</v>
      </c>
      <c r="AF40">
        <v>528.85</v>
      </c>
      <c r="AG40" s="7">
        <v>45677.571469907409</v>
      </c>
    </row>
    <row r="41" spans="1:33" x14ac:dyDescent="0.3">
      <c r="A41" s="7">
        <v>45677.571469907409</v>
      </c>
      <c r="B41" s="9">
        <v>12.6</v>
      </c>
      <c r="C41">
        <v>17.533333333333335</v>
      </c>
      <c r="D41">
        <v>22.6</v>
      </c>
      <c r="E41">
        <v>10</v>
      </c>
      <c r="F41">
        <v>54995</v>
      </c>
      <c r="M41">
        <v>57970</v>
      </c>
      <c r="N41">
        <v>769157</v>
      </c>
      <c r="O41">
        <v>3.9500000000000011</v>
      </c>
      <c r="P41">
        <v>16.55</v>
      </c>
      <c r="Q41" s="6">
        <f t="shared" si="1"/>
        <v>23800</v>
      </c>
      <c r="R41">
        <v>446.45</v>
      </c>
      <c r="S41">
        <v>-128.34999999999997</v>
      </c>
      <c r="T41">
        <v>5163</v>
      </c>
      <c r="U41">
        <v>3699</v>
      </c>
      <c r="AB41">
        <v>54996</v>
      </c>
      <c r="AC41">
        <v>405.7</v>
      </c>
      <c r="AD41">
        <v>627</v>
      </c>
      <c r="AE41">
        <v>725.86666666666667</v>
      </c>
      <c r="AF41">
        <v>574.79999999999995</v>
      </c>
      <c r="AG41" s="7">
        <v>45677.571458333332</v>
      </c>
    </row>
    <row r="42" spans="1:33" x14ac:dyDescent="0.3">
      <c r="A42" s="7">
        <v>45677.571469907409</v>
      </c>
      <c r="B42" s="9">
        <v>9.85</v>
      </c>
      <c r="C42">
        <v>17.266666666666666</v>
      </c>
      <c r="D42">
        <v>17</v>
      </c>
      <c r="E42">
        <v>7.85</v>
      </c>
      <c r="F42">
        <v>54997</v>
      </c>
      <c r="M42">
        <v>24425</v>
      </c>
      <c r="N42">
        <v>426055</v>
      </c>
      <c r="O42">
        <v>2.5999999999999996</v>
      </c>
      <c r="P42">
        <v>12.45</v>
      </c>
      <c r="Q42" s="6">
        <f t="shared" si="1"/>
        <v>23850</v>
      </c>
      <c r="R42">
        <v>494.95</v>
      </c>
      <c r="S42">
        <v>-127.59999999999997</v>
      </c>
      <c r="T42">
        <v>332</v>
      </c>
      <c r="U42">
        <v>537</v>
      </c>
      <c r="AB42">
        <v>54998</v>
      </c>
      <c r="AC42">
        <v>451</v>
      </c>
      <c r="AD42">
        <v>670</v>
      </c>
      <c r="AE42">
        <v>780.06666666666672</v>
      </c>
      <c r="AF42">
        <v>622.54999999999995</v>
      </c>
      <c r="AG42" s="7">
        <v>45677.571469907409</v>
      </c>
    </row>
    <row r="43" spans="1:33" x14ac:dyDescent="0.3">
      <c r="A43" s="7">
        <v>45677.571469907409</v>
      </c>
      <c r="B43" s="9">
        <v>7.75</v>
      </c>
      <c r="C43">
        <v>12.733333333333333</v>
      </c>
      <c r="D43">
        <v>12.6</v>
      </c>
      <c r="E43">
        <v>6.3</v>
      </c>
      <c r="F43">
        <v>54999</v>
      </c>
      <c r="M43">
        <v>48800</v>
      </c>
      <c r="N43">
        <v>555234</v>
      </c>
      <c r="O43">
        <v>1.6500000000000004</v>
      </c>
      <c r="P43">
        <v>9.4</v>
      </c>
      <c r="Q43" s="6">
        <f t="shared" si="1"/>
        <v>23900</v>
      </c>
      <c r="R43">
        <v>538.54999999999995</v>
      </c>
      <c r="S43">
        <v>-133</v>
      </c>
      <c r="T43">
        <v>1124</v>
      </c>
      <c r="U43">
        <v>1295</v>
      </c>
      <c r="AB43">
        <v>55000</v>
      </c>
      <c r="AC43">
        <v>495.9</v>
      </c>
      <c r="AD43">
        <v>720</v>
      </c>
      <c r="AE43">
        <v>797.33333333333337</v>
      </c>
      <c r="AF43">
        <v>671.55</v>
      </c>
      <c r="AG43" s="7">
        <v>45677.571469907409</v>
      </c>
    </row>
    <row r="44" spans="1:33" x14ac:dyDescent="0.3">
      <c r="A44" s="7">
        <v>45677.571458333332</v>
      </c>
      <c r="B44" s="9">
        <v>6.35</v>
      </c>
      <c r="C44">
        <v>9.2666666666666675</v>
      </c>
      <c r="D44">
        <v>9.4499999999999993</v>
      </c>
      <c r="E44">
        <v>5.0999999999999996</v>
      </c>
      <c r="F44">
        <v>55001</v>
      </c>
      <c r="M44">
        <v>17460</v>
      </c>
      <c r="N44">
        <v>268289</v>
      </c>
      <c r="O44">
        <v>0.90000000000000036</v>
      </c>
      <c r="P44">
        <v>7.25</v>
      </c>
      <c r="Q44" s="6">
        <f t="shared" si="1"/>
        <v>23950</v>
      </c>
      <c r="R44">
        <v>584.9</v>
      </c>
      <c r="S44">
        <v>-120.10000000000002</v>
      </c>
      <c r="T44">
        <v>44</v>
      </c>
      <c r="U44">
        <v>65</v>
      </c>
      <c r="AB44">
        <v>55002</v>
      </c>
      <c r="AC44">
        <v>554.6</v>
      </c>
      <c r="AD44">
        <v>749.2</v>
      </c>
      <c r="AE44">
        <v>998.93333333333328</v>
      </c>
      <c r="AF44">
        <v>705</v>
      </c>
      <c r="AG44" s="7">
        <v>45677.571458333332</v>
      </c>
    </row>
    <row r="45" spans="1:33" x14ac:dyDescent="0.3">
      <c r="A45" s="7">
        <v>45677.571469907409</v>
      </c>
      <c r="B45" s="9">
        <v>5.3</v>
      </c>
      <c r="C45">
        <v>6.666666666666667</v>
      </c>
      <c r="D45">
        <v>7.15</v>
      </c>
      <c r="E45">
        <v>4.2</v>
      </c>
      <c r="F45">
        <v>55003</v>
      </c>
      <c r="M45">
        <v>123561</v>
      </c>
      <c r="N45">
        <v>749166</v>
      </c>
      <c r="O45">
        <v>0.40000000000000036</v>
      </c>
      <c r="P45">
        <v>5.7</v>
      </c>
      <c r="Q45" s="6">
        <f t="shared" si="1"/>
        <v>24000</v>
      </c>
      <c r="R45">
        <v>634.65</v>
      </c>
      <c r="S45">
        <v>-131.25</v>
      </c>
      <c r="T45">
        <v>2788</v>
      </c>
      <c r="U45">
        <v>5482</v>
      </c>
      <c r="AB45">
        <v>55004</v>
      </c>
      <c r="AC45">
        <v>590</v>
      </c>
      <c r="AD45">
        <v>817.3</v>
      </c>
      <c r="AE45">
        <v>950.06666666666672</v>
      </c>
      <c r="AF45">
        <v>765.9</v>
      </c>
      <c r="AG45" s="7">
        <v>45677.571469907409</v>
      </c>
    </row>
    <row r="46" spans="1:33" x14ac:dyDescent="0.3">
      <c r="A46" s="7">
        <v>45677.571469907409</v>
      </c>
      <c r="B46" s="9">
        <v>4.25</v>
      </c>
      <c r="C46">
        <v>5.9333333333333336</v>
      </c>
      <c r="D46">
        <v>5.25</v>
      </c>
      <c r="E46">
        <v>3.5</v>
      </c>
      <c r="F46">
        <v>55005</v>
      </c>
      <c r="M46">
        <v>15948</v>
      </c>
      <c r="N46">
        <v>414049</v>
      </c>
      <c r="O46">
        <v>4.9999999999999822E-2</v>
      </c>
      <c r="P46">
        <v>4.3</v>
      </c>
      <c r="Q46" s="6">
        <f t="shared" si="1"/>
        <v>24050</v>
      </c>
      <c r="R46">
        <v>685.45</v>
      </c>
      <c r="S46">
        <v>-144.44999999999993</v>
      </c>
      <c r="T46">
        <v>172</v>
      </c>
      <c r="U46">
        <v>134</v>
      </c>
      <c r="AB46">
        <v>55006</v>
      </c>
      <c r="AC46">
        <v>644.04999999999995</v>
      </c>
      <c r="AD46">
        <v>799</v>
      </c>
      <c r="AE46">
        <v>1065.3333333333333</v>
      </c>
      <c r="AF46">
        <v>829.9</v>
      </c>
      <c r="AG46" s="7">
        <v>45677.571469907409</v>
      </c>
    </row>
    <row r="47" spans="1:33" x14ac:dyDescent="0.3">
      <c r="A47" s="7">
        <v>45677.571469907409</v>
      </c>
      <c r="B47" s="9">
        <v>3.6</v>
      </c>
      <c r="C47">
        <v>4.4000000000000004</v>
      </c>
      <c r="D47">
        <v>4</v>
      </c>
      <c r="E47">
        <v>2.9</v>
      </c>
      <c r="F47">
        <v>55009</v>
      </c>
      <c r="M47">
        <v>38956</v>
      </c>
      <c r="N47">
        <v>428280</v>
      </c>
      <c r="O47">
        <v>-0.25</v>
      </c>
      <c r="P47">
        <v>3.35</v>
      </c>
      <c r="Q47" s="6">
        <f t="shared" si="1"/>
        <v>24100</v>
      </c>
      <c r="R47">
        <v>724.8</v>
      </c>
      <c r="S47">
        <v>-138.15000000000009</v>
      </c>
      <c r="T47">
        <v>145</v>
      </c>
      <c r="U47">
        <v>1372</v>
      </c>
      <c r="AB47">
        <v>55010</v>
      </c>
      <c r="AC47">
        <v>690</v>
      </c>
      <c r="AD47">
        <v>898.7</v>
      </c>
      <c r="AE47">
        <v>1150.5999999999999</v>
      </c>
      <c r="AF47">
        <v>862.95</v>
      </c>
      <c r="AG47" s="7">
        <v>45677.571469907409</v>
      </c>
    </row>
    <row r="48" spans="1:33" x14ac:dyDescent="0.3">
      <c r="A48" s="7">
        <v>45677.571458333332</v>
      </c>
      <c r="B48" s="9">
        <v>3.05</v>
      </c>
      <c r="C48">
        <v>4</v>
      </c>
      <c r="D48">
        <v>3.35</v>
      </c>
      <c r="E48">
        <v>2.35</v>
      </c>
      <c r="F48">
        <v>55011</v>
      </c>
      <c r="M48">
        <v>19511</v>
      </c>
      <c r="N48">
        <v>237863</v>
      </c>
      <c r="O48">
        <v>-0.29999999999999982</v>
      </c>
      <c r="P48">
        <v>2.75</v>
      </c>
      <c r="Q48" s="6">
        <f t="shared" si="1"/>
        <v>24150</v>
      </c>
      <c r="R48">
        <v>811.3</v>
      </c>
      <c r="S48">
        <v>-87.650000000000091</v>
      </c>
      <c r="T48">
        <v>1</v>
      </c>
      <c r="U48">
        <v>58</v>
      </c>
      <c r="AB48">
        <v>55012</v>
      </c>
      <c r="AC48">
        <v>811.3</v>
      </c>
      <c r="AD48">
        <v>811.3</v>
      </c>
      <c r="AE48">
        <v>1081.7333333333333</v>
      </c>
      <c r="AF48">
        <v>898.95</v>
      </c>
      <c r="AG48" s="7">
        <v>45677.571423611109</v>
      </c>
    </row>
    <row r="49" spans="1:33" x14ac:dyDescent="0.3">
      <c r="A49" s="7">
        <v>45677.571469907409</v>
      </c>
      <c r="B49" s="9">
        <v>2.8</v>
      </c>
      <c r="C49">
        <v>3.3333333333333335</v>
      </c>
      <c r="D49">
        <v>2.9</v>
      </c>
      <c r="E49">
        <v>2.1</v>
      </c>
      <c r="F49">
        <v>55013</v>
      </c>
      <c r="M49">
        <v>53139</v>
      </c>
      <c r="N49">
        <v>299219</v>
      </c>
      <c r="O49">
        <v>-0.5</v>
      </c>
      <c r="P49">
        <v>2.2999999999999998</v>
      </c>
      <c r="Q49" s="6">
        <f t="shared" si="1"/>
        <v>24200</v>
      </c>
      <c r="R49">
        <v>802</v>
      </c>
      <c r="S49">
        <v>-166.60000000000002</v>
      </c>
      <c r="T49">
        <v>250</v>
      </c>
      <c r="U49">
        <v>1568</v>
      </c>
      <c r="AB49">
        <v>55014</v>
      </c>
      <c r="AC49">
        <v>786</v>
      </c>
      <c r="AD49">
        <v>975.6</v>
      </c>
      <c r="AE49">
        <v>1246.6666666666667</v>
      </c>
      <c r="AF49">
        <v>968.6</v>
      </c>
      <c r="AG49" s="7">
        <v>45677.571469907409</v>
      </c>
    </row>
    <row r="50" spans="1:33" x14ac:dyDescent="0.3">
      <c r="A50" s="7">
        <v>45677.571446759262</v>
      </c>
      <c r="B50" s="9">
        <v>2.35</v>
      </c>
      <c r="C50">
        <v>3.2</v>
      </c>
      <c r="D50">
        <v>2.65</v>
      </c>
      <c r="E50">
        <v>1.95</v>
      </c>
      <c r="F50">
        <v>55017</v>
      </c>
      <c r="M50">
        <v>18846</v>
      </c>
      <c r="N50">
        <v>90447</v>
      </c>
      <c r="O50">
        <v>-0.30000000000000027</v>
      </c>
      <c r="P50">
        <v>2.0499999999999998</v>
      </c>
      <c r="Q50" s="6">
        <f t="shared" si="1"/>
        <v>24250</v>
      </c>
      <c r="R50">
        <v>857.35</v>
      </c>
      <c r="S50">
        <v>-154.69999999999993</v>
      </c>
      <c r="T50">
        <v>37</v>
      </c>
      <c r="U50">
        <v>130</v>
      </c>
      <c r="AB50">
        <v>55020</v>
      </c>
      <c r="AC50">
        <v>857.35</v>
      </c>
      <c r="AD50">
        <v>1043.3</v>
      </c>
      <c r="AE50">
        <v>1288.8</v>
      </c>
      <c r="AF50">
        <v>1012.05</v>
      </c>
      <c r="AG50" s="7">
        <v>45677.571458333332</v>
      </c>
    </row>
    <row r="51" spans="1:33" x14ac:dyDescent="0.3">
      <c r="A51" s="7">
        <v>45677.571469907409</v>
      </c>
      <c r="B51" s="9">
        <v>2.35</v>
      </c>
      <c r="C51">
        <v>2.6</v>
      </c>
      <c r="D51">
        <v>2.4</v>
      </c>
      <c r="E51">
        <v>1.75</v>
      </c>
      <c r="F51">
        <v>55021</v>
      </c>
      <c r="M51">
        <v>37651</v>
      </c>
      <c r="N51">
        <v>230344</v>
      </c>
      <c r="O51">
        <v>-0.40000000000000013</v>
      </c>
      <c r="P51">
        <v>1.95</v>
      </c>
      <c r="Q51" s="6">
        <f t="shared" si="1"/>
        <v>24300</v>
      </c>
      <c r="R51">
        <v>924.4</v>
      </c>
      <c r="S51">
        <v>-140.80000000000007</v>
      </c>
      <c r="T51">
        <v>109</v>
      </c>
      <c r="U51">
        <v>1143</v>
      </c>
      <c r="AB51">
        <v>55022</v>
      </c>
      <c r="AC51">
        <v>885</v>
      </c>
      <c r="AD51">
        <v>1112.7</v>
      </c>
      <c r="AE51">
        <v>1441.8666666666666</v>
      </c>
      <c r="AF51">
        <v>1065.2</v>
      </c>
      <c r="AG51" s="7">
        <v>45677.571469907409</v>
      </c>
    </row>
    <row r="52" spans="1:33" x14ac:dyDescent="0.3">
      <c r="A52" s="7">
        <v>45677.571423611109</v>
      </c>
      <c r="B52" s="9">
        <v>2.15</v>
      </c>
      <c r="C52">
        <v>2.4666666666666668</v>
      </c>
      <c r="D52">
        <v>2.2999999999999998</v>
      </c>
      <c r="E52">
        <v>1.7</v>
      </c>
      <c r="F52">
        <v>55029</v>
      </c>
      <c r="M52">
        <v>10233</v>
      </c>
      <c r="N52">
        <v>67201</v>
      </c>
      <c r="O52">
        <v>-0.29999999999999982</v>
      </c>
      <c r="P52">
        <v>1.85</v>
      </c>
      <c r="Q52" s="6">
        <f t="shared" si="1"/>
        <v>24350</v>
      </c>
      <c r="R52">
        <v>980.3</v>
      </c>
      <c r="S52">
        <v>-161.70000000000005</v>
      </c>
      <c r="T52">
        <v>37</v>
      </c>
      <c r="U52">
        <v>24</v>
      </c>
      <c r="AB52">
        <v>55030</v>
      </c>
      <c r="AC52">
        <v>980.3</v>
      </c>
      <c r="AD52">
        <v>1112.05</v>
      </c>
      <c r="AE52">
        <v>1477.4666666666667</v>
      </c>
      <c r="AF52">
        <v>1142</v>
      </c>
      <c r="AG52" s="7">
        <v>45677.569398148145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credential</vt:lpstr>
      <vt:lpstr>nifty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Neeraj Prajapati</dc:creator>
  <cp:lastModifiedBy>Neeraj Prajapati</cp:lastModifiedBy>
  <dcterms:created xsi:type="dcterms:W3CDTF">2015-06-05T18:17:20Z</dcterms:created>
  <dcterms:modified xsi:type="dcterms:W3CDTF">2025-01-20T09:06:00Z</dcterms:modified>
</cp:coreProperties>
</file>